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<sst xmlns="http://schemas.openxmlformats.org/spreadsheetml/2006/main" count="317" uniqueCount="199">
  <si>
    <t xml:space="preserve">Geometry</t>
  </si>
  <si>
    <t xml:space="preserve">Slurm ID</t>
  </si>
  <si>
    <t xml:space="preserve">Procs</t>
  </si>
  <si>
    <t xml:space="preserve">Cells</t>
  </si>
  <si>
    <t xml:space="preserve">Rays</t>
  </si>
  <si>
    <t xml:space="preserve">Status</t>
  </si>
  <si>
    <t xml:space="preserve">Statuses</t>
  </si>
  <si>
    <t xml:space="preserve">R5</t>
  </si>
  <si>
    <t xml:space="preserve">?</t>
  </si>
  <si>
    <t xml:space="preserve">Good result</t>
  </si>
  <si>
    <t xml:space="preserve">z</t>
  </si>
  <si>
    <t xml:space="preserve">Parallel Plates</t>
  </si>
  <si>
    <t xml:space="preserve">Equilibrium</t>
  </si>
  <si>
    <t xml:space="preserve">Diffusion</t>
  </si>
  <si>
    <t xml:space="preserve">Did not finish initialization, out of memory</t>
  </si>
  <si>
    <t xml:space="preserve">r</t>
  </si>
  <si>
    <t xml:space="preserve">Strong Scaling (1000 cells, 500 rays)</t>
  </si>
  <si>
    <t xml:space="preserve">Init</t>
  </si>
  <si>
    <t xml:space="preserve">Solve</t>
  </si>
  <si>
    <t xml:space="preserve">Weak Scaling (100 cells/proc, 500 rays)</t>
  </si>
  <si>
    <t xml:space="preserve">Weak Scaling  (100 cells/proc, 500 rays)</t>
  </si>
  <si>
    <t xml:space="preserve">Strong Scaling (10000 cells, 500 rays)</t>
  </si>
  <si>
    <t xml:space="preserve">Did not finish initialization, out of time</t>
  </si>
  <si>
    <t xml:space="preserve">l</t>
  </si>
  <si>
    <t xml:space="preserve">nans</t>
  </si>
  <si>
    <t xml:space="preserve">v</t>
  </si>
  <si>
    <t xml:space="preserve">nu</t>
  </si>
  <si>
    <t xml:space="preserve">HEXAHEDRAL MESH ALLOWS FOR WORKING BOUNDARY CONDITION</t>
  </si>
  <si>
    <t xml:space="preserve">P</t>
  </si>
  <si>
    <t xml:space="preserve">x</t>
  </si>
  <si>
    <t xml:space="preserve">R</t>
  </si>
  <si>
    <t xml:space="preserve">With radiation</t>
  </si>
  <si>
    <t xml:space="preserve">/home/owen/ablateInputsTemp/_rad_2022-08-21T10-51-57</t>
  </si>
  <si>
    <t xml:space="preserve">E</t>
  </si>
  <si>
    <t xml:space="preserve">15000-20000</t>
  </si>
  <si>
    <t xml:space="preserve">Without radiation (is it weird that there isn’t any behavior even though there is a compressible flow solver? Or is this because there are no processes)</t>
  </si>
  <si>
    <t xml:space="preserve">/home/owen/ablateInputsTemp/_rad_2022-08-21T11-08-18</t>
  </si>
  <si>
    <t xml:space="preserve">atm </t>
  </si>
  <si>
    <t xml:space="preserve">Why did this go nans?</t>
  </si>
  <si>
    <t xml:space="preserve">/home/owen/ablateInputsTemp/_rad_2022-08-21T11-32-25</t>
  </si>
  <si>
    <t xml:space="preserve">~300000</t>
  </si>
  <si>
    <t xml:space="preserve">/home/owen/ablateInputs/R1_5.0m/_SphRadEq_5.0m_2022-08-26-QuartzRun/domain.hdf5</t>
  </si>
  <si>
    <t xml:space="preserve">Black Powder</t>
  </si>
  <si>
    <t xml:space="preserve">R1</t>
  </si>
  <si>
    <t xml:space="preserve">Working spheres with stable outputs</t>
  </si>
  <si>
    <t xml:space="preserve">/home/owen/ablateInputs/radEqTest/_RadEqTest_2022-08-22T19-01-53</t>
  </si>
  <si>
    <t xml:space="preserve">Going unstable</t>
  </si>
  <si>
    <t xml:space="preserve">/home/owen/ablateInputs/radEqTest/_RadEqTest_2022-08-22T19-33-16</t>
  </si>
  <si>
    <t xml:space="preserve">mproj</t>
  </si>
  <si>
    <t xml:space="preserve">vinit</t>
  </si>
  <si>
    <t xml:space="preserve">N10 n100</t>
  </si>
  <si>
    <t xml:space="preserve">/home/owen/ablateInputs/radEqTest/_RadEqTest_2022-08-23T08-39-18/domain.xmf</t>
  </si>
  <si>
    <t xml:space="preserve">h</t>
  </si>
  <si>
    <t xml:space="preserve">/home/owen/ablateInputs/radEqTest/_RadEqTest_2022-08-23T07-47-12/domain.xmf</t>
  </si>
  <si>
    <t xml:space="preserve">N50 n500</t>
  </si>
  <si>
    <t xml:space="preserve">low pressure runs</t>
  </si>
  <si>
    <t xml:space="preserve">extra stable box guy</t>
  </si>
  <si>
    <t xml:space="preserve">/home/owen/ablateInputsTemp/_rad_2022-08-23T09-49-39</t>
  </si>
  <si>
    <t xml:space="preserve">maybe stable box guy</t>
  </si>
  <si>
    <t xml:space="preserve">Oh Yeah!</t>
  </si>
  <si>
    <t xml:space="preserve">/home/owen/ablateInputsTemp/_rad_2022-08-23T10-13-37</t>
  </si>
  <si>
    <t xml:space="preserve">N10 n50</t>
  </si>
  <si>
    <t xml:space="preserve">Sphere but same as above run</t>
  </si>
  <si>
    <t xml:space="preserve">/home/owen/ablateInputs/radEqTest/_RadEqTest_2022-08-23T10-39-33</t>
  </si>
  <si>
    <t xml:space="preserve">N5 n25</t>
  </si>
  <si>
    <t xml:space="preserve">mesh failure</t>
  </si>
  <si>
    <t xml:space="preserve">N2 n10</t>
  </si>
  <si>
    <t xml:space="preserve">/home/owen/ablateInputs/R1_5.0m/_SphRadEq_5.0m_2022-08-31-QuartzRun/domain.hdf5</t>
  </si>
  <si>
    <t xml:space="preserve">Something good maybe?</t>
  </si>
  <si>
    <t xml:space="preserve">/home/owen/ablateInputs/radEqTest/_RadEqTest_2022-08-23T15-56-25</t>
  </si>
  <si>
    <t xml:space="preserve">N5 n50</t>
  </si>
  <si>
    <t xml:space="preserve">/home/owen/ablateInputs/radEqTest/_RadEqTest_2022-08-23T16-05-23</t>
  </si>
  <si>
    <t xml:space="preserve">N2 n4</t>
  </si>
  <si>
    <t xml:space="preserve">“normal” looking box mesh</t>
  </si>
  <si>
    <t xml:space="preserve">/home/owen/ablateInputsTemp/_rad_2022-08-23T17-23-13</t>
  </si>
  <si>
    <t xml:space="preserve">Parallel fix implemented here</t>
  </si>
  <si>
    <t xml:space="preserve">main branch run</t>
  </si>
  <si>
    <t xml:space="preserve">/home/owen/ablateInputsTemp/_rad_2022-08-23T17-48-46</t>
  </si>
  <si>
    <t xml:space="preserve">Better sphere input file?</t>
  </si>
  <si>
    <t xml:space="preserve">/home/owen/ablateInputs/radEqTest/_RadEqTest_2022-08-24T12-10-48</t>
  </si>
  <si>
    <t xml:space="preserve">N2 n5</t>
  </si>
  <si>
    <t xml:space="preserve">Stagnant sphere with uninit bounds</t>
  </si>
  <si>
    <t xml:space="preserve">/home/owen/ablateInputs/radEqTest/_RadEqTest_2022-08-24T13-38-58</t>
  </si>
  <si>
    <t xml:space="preserve">Single debug bound solver </t>
  </si>
  <si>
    <t xml:space="preserve">/home/owen/ablateInputs/radEqTest/_RadEqTest_2022-08-24T13-52-50</t>
  </si>
  <si>
    <t xml:space="preserve">With interval, same as above</t>
  </si>
  <si>
    <t xml:space="preserve">/home/owen/ablateInputs/radEqTest/_RadEqTest_2022-08-24T14-02-07</t>
  </si>
  <si>
    <t xml:space="preserve">SlabRadTest no ray sharing</t>
  </si>
  <si>
    <t xml:space="preserve">N12 n432</t>
  </si>
  <si>
    <t xml:space="preserve">SlabRadTest ray sharing</t>
  </si>
  <si>
    <t xml:space="preserve">AUXDM!</t>
  </si>
  <si>
    <t xml:space="preserve">/home/owen/ablateInputs/radEqTest/_RadEqTest_2022-08-24T15-39-01</t>
  </si>
  <si>
    <t xml:space="preserve">SlabRadTest ray sharing </t>
  </si>
  <si>
    <t xml:space="preserve">Bad cell is bad cell is</t>
  </si>
  <si>
    <t xml:space="preserve">/home/owen/ablateInputs/radEqTest/_RadEqTest_2022-08-24T15-52-15</t>
  </si>
  <si>
    <t xml:space="preserve">SlabRadTest no ray sharing </t>
  </si>
  <si>
    <t xml:space="preserve">Finer mesh</t>
  </si>
  <si>
    <t xml:space="preserve">/home/owen/ablateInputs/R1_5.0m/_SphRadEq_5.0m_2022-08-24T17-06-34</t>
  </si>
  <si>
    <t xml:space="preserve">N8 n288</t>
  </si>
  <si>
    <t xml:space="preserve">DmRefine 1</t>
  </si>
  <si>
    <t xml:space="preserve">/home/owen/ablateInputs/radEqTest/_RadEqTest_2022-08-24T17-12-41</t>
  </si>
  <si>
    <t xml:space="preserve">Notes:</t>
  </si>
  <si>
    <t xml:space="preserve">SlabRadTest sublimation only</t>
  </si>
  <si>
    <t xml:space="preserve">Always the same cells that go bad</t>
  </si>
  <si>
    <t xml:space="preserve">To look at label, went unstable</t>
  </si>
  <si>
    <t xml:space="preserve">/home/owen/ablateInputs/radEqTest/_RadEqTest_2022-08-24T17-17-31</t>
  </si>
  <si>
    <t xml:space="preserve">FVM check is good</t>
  </si>
  <si>
    <t xml:space="preserve">Trying a different ray number with same mesh</t>
  </si>
  <si>
    <t xml:space="preserve">Doesn’t help</t>
  </si>
  <si>
    <t xml:space="preserve">/home/owen/ablateInputs/radEqTest/_RadEqTest_2022-08-24T17-39-43</t>
  </si>
  <si>
    <t xml:space="preserve">SlabRadTest ray sharing ccr</t>
  </si>
  <si>
    <t xml:space="preserve">N24 n384</t>
  </si>
  <si>
    <t xml:space="preserve">Flow region label is good</t>
  </si>
  <si>
    <t xml:space="preserve">Raising pressure to see if its an eos thing</t>
  </si>
  <si>
    <t xml:space="preserve">/home/owen/ablateInputs/radEqTest/_RadEqTest_2022-08-24T18-01-13</t>
  </si>
  <si>
    <t xml:space="preserve">N12 n192</t>
  </si>
  <si>
    <t xml:space="preserve">Turning timestep down with raise pressure to see</t>
  </si>
  <si>
    <t xml:space="preserve">It doesn’t help</t>
  </si>
  <si>
    <t xml:space="preserve">/home/owen/ablateInputs/radEqTest/_RadEqTest_2022-08-24T18-19-03</t>
  </si>
  <si>
    <t xml:space="preserve">SlabRadTest ray sharing ccr no vol</t>
  </si>
  <si>
    <t xml:space="preserve">Debugging to check temperature again</t>
  </si>
  <si>
    <t xml:space="preserve">/home/owen/ablateInputs/radEqTest/_RadEqTest_2022-08-24T18-28-48/RadEqTest.yaml</t>
  </si>
  <si>
    <t xml:space="preserve">bad code</t>
  </si>
  <si>
    <t xml:space="preserve">I THINK WE GOT IT</t>
  </si>
  <si>
    <t xml:space="preserve">No we didn’t, possible that turning down the travel will help so none of the particles leave the cell before they register something inside</t>
  </si>
  <si>
    <t xml:space="preserve">/home/owen/ablateInputs/radEqTest/_RadEqTest_2022-08-24T20-49-02/RadEqTest.yaml</t>
  </si>
  <si>
    <t xml:space="preserve">We definitely got it</t>
  </si>
  <si>
    <t xml:space="preserve">Should this even work? It is!</t>
  </si>
  <si>
    <t xml:space="preserve">/home/owen/ablateInputs/radEqTest/_RadEqTest_2022-08-24T21-37-20/domain.xmf</t>
  </si>
  <si>
    <t xml:space="preserve">Bigger guy better guy?</t>
  </si>
  <si>
    <t xml:space="preserve">io every 100 no vol</t>
  </si>
  <si>
    <t xml:space="preserve">These could be beautiful</t>
  </si>
  <si>
    <t xml:space="preserve">/home/owen/ablateInputs/R1_5.0m/_SphRadEq_5.0m_2022-08-24T22-02-34/R1_5.0m.yaml</t>
  </si>
  <si>
    <t xml:space="preserve">Io 100 full volumetric</t>
  </si>
  <si>
    <t xml:space="preserve">/home/owen/ablateInputs/R1_1.0m/_SphRadEq_1.0m_2022-08-24T22-04-33/R1_1.0m.yaml</t>
  </si>
  <si>
    <t xml:space="preserve">io every 100 no vol high refinement</t>
  </si>
  <si>
    <t xml:space="preserve">R0.1</t>
  </si>
  <si>
    <t xml:space="preserve">/home/owen/ablateInputs/R1_0.1m/_SphRadEq_0.1m_2022-08-24T22-05-46/R1_0.1m.yaml</t>
  </si>
  <si>
    <t xml:space="preserve">Slab. Vol. io 100. 50/25 rays.</t>
  </si>
  <si>
    <t xml:space="preserve">segfault</t>
  </si>
  <si>
    <t xml:space="preserve">Refined and more rays</t>
  </si>
  <si>
    <t xml:space="preserve">/home/owen/ablateInputs/R1_5.0m/_SphRadEq_5.0m_2022-08-25T18-12-28</t>
  </si>
  <si>
    <t xml:space="preserve">/home/owen/ablateInputs/R1_5.0m/_SphRadEq_5.0m_2022-08-25T18-12-14</t>
  </si>
  <si>
    <t xml:space="preserve">Slab. NoVol. io 100. 50/25 rays.</t>
  </si>
  <si>
    <t xml:space="preserve">R01 mesh is broken</t>
  </si>
  <si>
    <t xml:space="preserve">/home/owen/ablateInputs/R1_1.0m/_SphRadEq_1.0m_2022-08-25T18-15-36</t>
  </si>
  <si>
    <t xml:space="preserve">Dummy high (250) refinement noVol</t>
  </si>
  <si>
    <t xml:space="preserve">R1 more cores more rays more cores more rays (rhs)</t>
  </si>
  <si>
    <t xml:space="preserve">/home/owen/ablateInputs/R1_1.0m/_SphRadEq_1.0m_2022-08-25T19-33-05</t>
  </si>
  <si>
    <t xml:space="preserve">Slab. Vol. Io 100. 50/15 rays.</t>
  </si>
  <si>
    <t xml:space="preserve">Fixed Boundary Conditions</t>
  </si>
  <si>
    <t xml:space="preserve">Surface Exchange Tests</t>
  </si>
  <si>
    <t xml:space="preserve">Slab. NoVol. Io 100. 50 rays.</t>
  </si>
  <si>
    <t xml:space="preserve">First</t>
  </si>
  <si>
    <t xml:space="preserve">/home/owen/ablateInputs/radEqTest/_RadEqTest_2022-08-29T11-40-54/domain.xmf</t>
  </si>
  <si>
    <t xml:space="preserve">Slab. NoRad. Io 100</t>
  </si>
  <si>
    <t xml:space="preserve">2D Slab 22G Case</t>
  </si>
  <si>
    <t xml:space="preserve">ped3</t>
  </si>
  <si>
    <t xml:space="preserve">GC</t>
  </si>
  <si>
    <t xml:space="preserve">Sca</t>
  </si>
  <si>
    <t xml:space="preserve">Queued</t>
  </si>
  <si>
    <t xml:space="preserve">1D Diffusion Flame 01</t>
  </si>
  <si>
    <t xml:space="preserve">/home/owen/ablateInputsTemp/_sublimationTest_2022-09-20T07-47-50</t>
  </si>
  <si>
    <t xml:space="preserve">Slab NoRad 560x80</t>
  </si>
  <si>
    <t xml:space="preserve">Initializing</t>
  </si>
  <si>
    <t xml:space="preserve">Slab NoVol 560x80</t>
  </si>
  <si>
    <t xml:space="preserve">Running</t>
  </si>
  <si>
    <t xml:space="preserve">Slab FullRad 560x80</t>
  </si>
  <si>
    <t xml:space="preserve">Complete</t>
  </si>
  <si>
    <t xml:space="preserve">Slab NoSph 560x80</t>
  </si>
  <si>
    <t xml:space="preserve">Failed</t>
  </si>
  <si>
    <t xml:space="preserve">Quartz 3D 22G Case</t>
  </si>
  <si>
    <t xml:space="preserve">_sublimationTest_2022-09-21T12-25-46</t>
  </si>
  <si>
    <t xml:space="preserve">560x80x80 N1024 10rays</t>
  </si>
  <si>
    <t xml:space="preserve">2D Slab 6G Case</t>
  </si>
  <si>
    <t xml:space="preserve">/home/owen/ablateInputsTemp/_sublimationTest_2022-09-21T17-56-12/vortexFlowField.145322.curve</t>
  </si>
  <si>
    <t xml:space="preserve">Slab NoVol 560x80 N8</t>
  </si>
  <si>
    <t xml:space="preserve">Slab NoVol 560x80 N2</t>
  </si>
  <si>
    <t xml:space="preserve">Fixed diffusion with sub</t>
  </si>
  <si>
    <t xml:space="preserve">/home/owen/ablateInputs/SmallCases/_sublimationTest_2022-09-28T17-03-20</t>
  </si>
  <si>
    <t xml:space="preserve">LowRes PMMA 22G</t>
  </si>
  <si>
    <t xml:space="preserve">Fixed diffusion without sub</t>
  </si>
  <si>
    <t xml:space="preserve">/home/owen/ablateInputs/SmallCases/_sublimationTest_2022-09-28T17-09-53</t>
  </si>
  <si>
    <t xml:space="preserve">Slab NoRad 446x56</t>
  </si>
  <si>
    <t xml:space="preserve">Slab NoVol 446x56</t>
  </si>
  <si>
    <t xml:space="preserve">/home/owen/ablateInputs/2DSlabRadTest/_2dSlabBurner_2022-10-18T12-26-23</t>
  </si>
  <si>
    <t xml:space="preserve">Fast Initialization</t>
  </si>
  <si>
    <t xml:space="preserve">all of these blew out due to the hot sphere not being big enough</t>
  </si>
  <si>
    <t xml:space="preserve">Slab NoRad 560x80 N1</t>
  </si>
  <si>
    <t xml:space="preserve">Slab NoVol 560x80 N4</t>
  </si>
  <si>
    <t xml:space="preserve">Faster?</t>
  </si>
  <si>
    <t xml:space="preserve">Original</t>
  </si>
  <si>
    <t xml:space="preserve">Speedup</t>
  </si>
  <si>
    <t xml:space="preserve">Comparison</t>
  </si>
  <si>
    <t xml:space="preserve">6 Updated</t>
  </si>
  <si>
    <t xml:space="preserve">Scavenger</t>
  </si>
  <si>
    <t xml:space="preserve">no rad</t>
  </si>
  <si>
    <t xml:space="preserve">no vol</t>
  </si>
  <si>
    <t xml:space="preserve">full rad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</si>
</sst>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0.00E+00"/>
  </numFmts>
  <fonts count="7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Times New Roman"/>
      <family val="1"/>
    </font>
    <font>
      <b val="true"/>
      <sz val="10"/>
      <name val="Arial"/>
      <family val="2"/>
    </font>
    <font>
      <sz val="10"/>
      <color rgb="FF00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B4C7DC"/>
        <bgColor rgb="FFCCCCFF"/>
      </patternFill>
    </fill>
    <fill>
      <patternFill patternType="solid">
        <fgColor rgb="FF81D41A"/>
        <bgColor rgb="FF808000"/>
      </patternFill>
    </fill>
    <fill>
      <patternFill patternType="solid">
        <fgColor rgb="FFFF0000"/>
        <bgColor rgb="FF993300"/>
      </patternFill>
    </fill>
    <fill>
      <patternFill patternType="solid">
        <fgColor rgb="FFBF819E"/>
        <bgColor rgb="FF808080"/>
      </patternFill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6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2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C7DC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81D41A"/>
      <rgbColor rgb="FFFFCC00"/>
      <rgbColor rgb="FFFF9900"/>
      <rgbColor rgb="FFFF6600"/>
      <rgbColor rgb="FF666699"/>
      <rgbColor rgb="FFBF819E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2:AM96"/>
  <sheetViews>
    <sheetView showFormulas="false" showGridLines="true" showRowColHeaders="true" showZeros="true" rightToLeft="false" tabSelected="true" showOutlineSymbols="true" defaultGridColor="true" view="normal" topLeftCell="A52" colorId="64" zoomScale="140" zoomScaleNormal="140" zoomScalePageLayoutView="100" workbookViewId="0">
      <selection pane="topLeft" activeCell="N78" activeCellId="0" sqref="N78"/>
    </sheetView>
  </sheetViews>
  <sheetFormatPr defaultColWidth="11.78515625" defaultRowHeight="12.8" zeroHeight="false" outlineLevelRow="0" outlineLevelCol="0"/>
  <cols>
    <col collapsed="false" customWidth="true" hidden="false" outlineLevel="0" max="1" min="1" style="0" width="23.81"/>
    <col collapsed="false" customWidth="true" hidden="false" outlineLevel="0" max="7" min="7" style="0" width="15.74"/>
    <col collapsed="false" customWidth="true" hidden="false" outlineLevel="0" max="9" min="8" style="0" width="19.58"/>
    <col collapsed="false" customWidth="true" hidden="false" outlineLevel="0" max="10" min="10" style="0" width="10.28"/>
    <col collapsed="false" customWidth="true" hidden="false" outlineLevel="0" max="21" min="21" style="0" width="11.52"/>
    <col collapsed="false" customWidth="true" hidden="false" outlineLevel="0" max="22" min="22" style="0" width="14.43"/>
    <col collapsed="false" customWidth="true" hidden="false" outlineLevel="0" max="23" min="23" style="0" width="10.41"/>
    <col collapsed="false" customWidth="true" hidden="false" outlineLevel="0" max="24" min="24" style="0" width="10.28"/>
    <col collapsed="false" customWidth="true" hidden="false" outlineLevel="0" max="25" min="25" style="0" width="7.22"/>
    <col collapsed="false" customWidth="true" hidden="false" outlineLevel="0" max="26" min="26" style="0" width="8.19"/>
    <col collapsed="false" customWidth="true" hidden="false" outlineLevel="0" max="27" min="27" style="0" width="8.89"/>
    <col collapsed="false" customWidth="true" hidden="false" outlineLevel="0" max="28" min="28" style="0" width="13.89"/>
    <col collapsed="false" customWidth="true" hidden="false" outlineLevel="0" max="29" min="29" style="0" width="9.03"/>
    <col collapsed="false" customWidth="true" hidden="false" outlineLevel="0" max="30" min="30" style="0" width="9.32"/>
    <col collapsed="false" customWidth="true" hidden="false" outlineLevel="0" max="31" min="31" style="0" width="15.42"/>
    <col collapsed="false" customWidth="true" hidden="false" outlineLevel="0" max="32" min="32" style="0" width="8.61"/>
    <col collapsed="false" customWidth="true" hidden="false" outlineLevel="0" max="33" min="33" style="0" width="9.59"/>
    <col collapsed="false" customWidth="true" hidden="false" outlineLevel="0" max="34" min="34" style="0" width="32.27"/>
    <col collapsed="false" customWidth="true" hidden="false" outlineLevel="0" max="37" min="37" style="0" width="34.21"/>
  </cols>
  <sheetData>
    <row r="2" customFormat="false" ht="12.8" hidden="false" customHeight="false" outlineLevel="0" collapsed="false">
      <c r="A2" s="0" t="s">
        <v>0</v>
      </c>
      <c r="B2" s="0" t="s">
        <v>1</v>
      </c>
      <c r="C2" s="0" t="s">
        <v>2</v>
      </c>
      <c r="D2" s="0" t="s">
        <v>3</v>
      </c>
      <c r="E2" s="0" t="s">
        <v>4</v>
      </c>
      <c r="F2" s="0" t="s">
        <v>5</v>
      </c>
      <c r="I2" s="0" t="s">
        <v>6</v>
      </c>
    </row>
    <row r="3" customFormat="false" ht="12.8" hidden="false" customHeight="false" outlineLevel="0" collapsed="false">
      <c r="A3" s="0" t="s">
        <v>7</v>
      </c>
      <c r="B3" s="0" t="n">
        <v>11080542</v>
      </c>
      <c r="C3" s="0" t="n">
        <v>360</v>
      </c>
      <c r="D3" s="0" t="n">
        <v>35000</v>
      </c>
      <c r="E3" s="0" t="n">
        <v>15</v>
      </c>
      <c r="F3" s="1" t="s">
        <v>8</v>
      </c>
      <c r="I3" s="0" t="n">
        <v>0</v>
      </c>
      <c r="J3" s="0" t="s">
        <v>9</v>
      </c>
      <c r="N3" s="0" t="s">
        <v>10</v>
      </c>
      <c r="V3" s="0" t="s">
        <v>11</v>
      </c>
      <c r="AB3" s="0" t="s">
        <v>12</v>
      </c>
      <c r="AH3" s="0" t="s">
        <v>13</v>
      </c>
    </row>
    <row r="4" customFormat="false" ht="12.8" hidden="false" customHeight="false" outlineLevel="0" collapsed="false">
      <c r="A4" s="0" t="s">
        <v>7</v>
      </c>
      <c r="B4" s="0" t="n">
        <v>11081046</v>
      </c>
      <c r="C4" s="0" t="n">
        <v>180</v>
      </c>
      <c r="D4" s="0" t="n">
        <v>35000</v>
      </c>
      <c r="E4" s="0" t="n">
        <v>15</v>
      </c>
      <c r="F4" s="1" t="s">
        <v>8</v>
      </c>
      <c r="I4" s="0" t="n">
        <v>1</v>
      </c>
      <c r="J4" s="0" t="s">
        <v>14</v>
      </c>
      <c r="R4" s="0" t="s">
        <v>15</v>
      </c>
      <c r="S4" s="0" t="n">
        <v>0.034925</v>
      </c>
      <c r="V4" s="0" t="s">
        <v>16</v>
      </c>
      <c r="W4" s="0" t="s">
        <v>17</v>
      </c>
      <c r="X4" s="0" t="s">
        <v>18</v>
      </c>
      <c r="Y4" s="0" t="s">
        <v>19</v>
      </c>
      <c r="Z4" s="0" t="s">
        <v>17</v>
      </c>
      <c r="AA4" s="0" t="s">
        <v>18</v>
      </c>
      <c r="AB4" s="0" t="s">
        <v>16</v>
      </c>
      <c r="AC4" s="0" t="s">
        <v>17</v>
      </c>
      <c r="AD4" s="0" t="s">
        <v>18</v>
      </c>
      <c r="AE4" s="0" t="s">
        <v>20</v>
      </c>
      <c r="AF4" s="0" t="s">
        <v>17</v>
      </c>
      <c r="AG4" s="0" t="s">
        <v>18</v>
      </c>
      <c r="AH4" s="0" t="s">
        <v>21</v>
      </c>
      <c r="AI4" s="0" t="s">
        <v>17</v>
      </c>
      <c r="AJ4" s="0" t="s">
        <v>18</v>
      </c>
      <c r="AK4" s="0" t="s">
        <v>20</v>
      </c>
      <c r="AL4" s="0" t="s">
        <v>17</v>
      </c>
      <c r="AM4" s="0" t="s">
        <v>18</v>
      </c>
    </row>
    <row r="5" customFormat="false" ht="12.8" hidden="false" customHeight="false" outlineLevel="0" collapsed="false">
      <c r="A5" s="0" t="s">
        <v>7</v>
      </c>
      <c r="B5" s="0" t="n">
        <v>11088200</v>
      </c>
      <c r="C5" s="0" t="n">
        <v>180</v>
      </c>
      <c r="D5" s="0" t="n">
        <v>35000</v>
      </c>
      <c r="E5" s="0" t="n">
        <v>2</v>
      </c>
      <c r="F5" s="1" t="s">
        <v>8</v>
      </c>
      <c r="I5" s="0" t="n">
        <v>2</v>
      </c>
      <c r="J5" s="0" t="s">
        <v>22</v>
      </c>
      <c r="R5" s="0" t="s">
        <v>23</v>
      </c>
      <c r="S5" s="0" t="n">
        <v>0.269748</v>
      </c>
      <c r="U5" s="0" t="n">
        <v>1</v>
      </c>
      <c r="V5" s="0" t="n">
        <v>11682781</v>
      </c>
      <c r="W5" s="2" t="n">
        <v>1761.6</v>
      </c>
      <c r="X5" s="2" t="n">
        <v>62.625</v>
      </c>
      <c r="AB5" s="0" t="n">
        <v>11682792</v>
      </c>
      <c r="AC5" s="2" t="n">
        <v>1755.2</v>
      </c>
      <c r="AD5" s="2" t="n">
        <v>6172.3</v>
      </c>
    </row>
    <row r="6" customFormat="false" ht="12.8" hidden="false" customHeight="false" outlineLevel="0" collapsed="false">
      <c r="A6" s="0" t="s">
        <v>7</v>
      </c>
      <c r="B6" s="0" t="n">
        <v>11088230</v>
      </c>
      <c r="C6" s="0" t="n">
        <f aca="false">36*3</f>
        <v>108</v>
      </c>
      <c r="D6" s="0" t="n">
        <v>35000</v>
      </c>
      <c r="E6" s="0" t="n">
        <v>2</v>
      </c>
      <c r="F6" s="1" t="s">
        <v>8</v>
      </c>
      <c r="I6" s="0" t="n">
        <v>3</v>
      </c>
      <c r="J6" s="0" t="s">
        <v>24</v>
      </c>
      <c r="R6" s="0" t="s">
        <v>25</v>
      </c>
      <c r="S6" s="0" t="n">
        <f aca="false">3.141592*S4*S4*S5</f>
        <v>0.00103366746105546</v>
      </c>
      <c r="U6" s="0" t="n">
        <v>2</v>
      </c>
      <c r="V6" s="0" t="n">
        <v>11682782</v>
      </c>
      <c r="W6" s="2" t="n">
        <v>997.68</v>
      </c>
      <c r="X6" s="2" t="n">
        <v>40.962</v>
      </c>
      <c r="AB6" s="0" t="n">
        <v>11682793</v>
      </c>
      <c r="AC6" s="2" t="n">
        <v>993.45</v>
      </c>
      <c r="AD6" s="2" t="n">
        <v>4478.2</v>
      </c>
    </row>
    <row r="7" customFormat="false" ht="12.8" hidden="false" customHeight="false" outlineLevel="0" collapsed="false">
      <c r="A7" s="0" t="s">
        <v>7</v>
      </c>
      <c r="B7" s="0" t="n">
        <v>11113098</v>
      </c>
      <c r="C7" s="0" t="n">
        <v>360</v>
      </c>
      <c r="D7" s="0" t="n">
        <v>35000</v>
      </c>
      <c r="E7" s="0" t="n">
        <v>15</v>
      </c>
      <c r="F7" s="1" t="s">
        <v>8</v>
      </c>
      <c r="R7" s="0" t="s">
        <v>26</v>
      </c>
      <c r="S7" s="0" t="n">
        <f aca="false">(S9*300)/S8</f>
        <v>1.13038433647571E-005</v>
      </c>
      <c r="U7" s="0" t="n">
        <v>4</v>
      </c>
      <c r="V7" s="0" t="n">
        <v>11682783</v>
      </c>
      <c r="W7" s="2" t="n">
        <v>674.32</v>
      </c>
      <c r="X7" s="2" t="n">
        <v>34.807</v>
      </c>
      <c r="AB7" s="0" t="n">
        <v>11682794</v>
      </c>
      <c r="AC7" s="2" t="n">
        <v>690.39</v>
      </c>
      <c r="AD7" s="2" t="n">
        <v>3371.1</v>
      </c>
    </row>
    <row r="8" customFormat="false" ht="12.8" hidden="false" customHeight="false" outlineLevel="0" collapsed="false">
      <c r="A8" s="0" t="s">
        <v>7</v>
      </c>
      <c r="B8" s="0" t="n">
        <v>11114287</v>
      </c>
      <c r="C8" s="0" t="n">
        <v>108</v>
      </c>
      <c r="D8" s="0" t="n">
        <v>35000</v>
      </c>
      <c r="E8" s="0" t="n">
        <v>15</v>
      </c>
      <c r="F8" s="1" t="s">
        <v>8</v>
      </c>
      <c r="J8" s="0" t="s">
        <v>27</v>
      </c>
      <c r="R8" s="0" t="s">
        <v>28</v>
      </c>
      <c r="S8" s="2" t="n">
        <v>6895000</v>
      </c>
      <c r="U8" s="0" t="n">
        <v>8</v>
      </c>
      <c r="V8" s="0" t="n">
        <v>11682784</v>
      </c>
      <c r="W8" s="0" t="s">
        <v>29</v>
      </c>
      <c r="X8" s="0" t="s">
        <v>29</v>
      </c>
      <c r="AB8" s="0" t="n">
        <v>11682795</v>
      </c>
      <c r="AC8" s="0" t="s">
        <v>29</v>
      </c>
      <c r="AD8" s="0" t="s">
        <v>29</v>
      </c>
    </row>
    <row r="9" customFormat="false" ht="12.8" hidden="false" customHeight="false" outlineLevel="0" collapsed="false">
      <c r="A9" s="0" t="s">
        <v>7</v>
      </c>
      <c r="B9" s="3" t="n">
        <v>11118997</v>
      </c>
      <c r="C9" s="0" t="n">
        <v>72</v>
      </c>
      <c r="D9" s="0" t="s">
        <v>8</v>
      </c>
      <c r="E9" s="0" t="n">
        <v>5</v>
      </c>
      <c r="F9" s="0" t="n">
        <v>1</v>
      </c>
      <c r="R9" s="0" t="s">
        <v>30</v>
      </c>
      <c r="S9" s="0" t="n">
        <v>0.2598</v>
      </c>
      <c r="U9" s="0" t="n">
        <v>16</v>
      </c>
      <c r="V9" s="0" t="n">
        <v>11682785</v>
      </c>
      <c r="W9" s="0" t="s">
        <v>29</v>
      </c>
      <c r="X9" s="0" t="s">
        <v>29</v>
      </c>
      <c r="AB9" s="0" t="n">
        <v>11682796</v>
      </c>
      <c r="AC9" s="0" t="s">
        <v>29</v>
      </c>
      <c r="AD9" s="0" t="s">
        <v>29</v>
      </c>
    </row>
    <row r="10" customFormat="false" ht="12.8" hidden="false" customHeight="false" outlineLevel="0" collapsed="false">
      <c r="A10" s="0" t="s">
        <v>7</v>
      </c>
      <c r="B10" s="3" t="n">
        <v>11118996</v>
      </c>
      <c r="C10" s="0" t="n">
        <v>72</v>
      </c>
      <c r="D10" s="0" t="s">
        <v>8</v>
      </c>
      <c r="E10" s="0" t="n">
        <v>5</v>
      </c>
      <c r="F10" s="0" t="n">
        <v>1</v>
      </c>
      <c r="J10" s="0" t="s">
        <v>31</v>
      </c>
      <c r="K10" s="0" t="s">
        <v>32</v>
      </c>
      <c r="R10" s="0" t="s">
        <v>33</v>
      </c>
      <c r="S10" s="0" t="n">
        <f aca="false">S8*S6*LN(S11/S8)+(S8-S11)*S6</f>
        <v>-23055.6760775215</v>
      </c>
      <c r="U10" s="0" t="n">
        <v>32</v>
      </c>
      <c r="V10" s="0" t="n">
        <v>11682786</v>
      </c>
      <c r="W10" s="0" t="s">
        <v>29</v>
      </c>
      <c r="X10" s="0" t="s">
        <v>29</v>
      </c>
      <c r="AB10" s="0" t="n">
        <v>11682797</v>
      </c>
      <c r="AC10" s="0" t="s">
        <v>29</v>
      </c>
      <c r="AD10" s="0" t="s">
        <v>29</v>
      </c>
    </row>
    <row r="11" customFormat="false" ht="12.8" hidden="false" customHeight="false" outlineLevel="0" collapsed="false">
      <c r="A11" s="0" t="s">
        <v>7</v>
      </c>
      <c r="B11" s="3" t="n">
        <v>11118918</v>
      </c>
      <c r="C11" s="0" t="n">
        <v>72</v>
      </c>
      <c r="D11" s="0" t="s">
        <v>34</v>
      </c>
      <c r="E11" s="0" t="n">
        <v>5</v>
      </c>
      <c r="F11" s="0" t="n">
        <v>1</v>
      </c>
      <c r="J11" s="0" t="s">
        <v>35</v>
      </c>
      <c r="K11" s="0" t="s">
        <v>36</v>
      </c>
      <c r="R11" s="0" t="s">
        <v>37</v>
      </c>
      <c r="S11" s="0" t="n">
        <v>101325</v>
      </c>
      <c r="U11" s="0" t="n">
        <v>64</v>
      </c>
      <c r="V11" s="0" t="n">
        <v>11682787</v>
      </c>
      <c r="W11" s="0" t="s">
        <v>29</v>
      </c>
      <c r="X11" s="0" t="s">
        <v>29</v>
      </c>
      <c r="AB11" s="0" t="n">
        <v>11682798</v>
      </c>
      <c r="AC11" s="0" t="s">
        <v>29</v>
      </c>
      <c r="AD11" s="0" t="s">
        <v>29</v>
      </c>
    </row>
    <row r="12" customFormat="false" ht="12.8" hidden="false" customHeight="false" outlineLevel="0" collapsed="false">
      <c r="A12" s="0" t="s">
        <v>7</v>
      </c>
      <c r="B12" s="3" t="n">
        <v>11119033</v>
      </c>
      <c r="C12" s="0" t="n">
        <v>72</v>
      </c>
      <c r="D12" s="0" t="s">
        <v>34</v>
      </c>
      <c r="E12" s="0" t="n">
        <v>5</v>
      </c>
      <c r="F12" s="0" t="n">
        <v>1</v>
      </c>
      <c r="J12" s="0" t="s">
        <v>38</v>
      </c>
      <c r="K12" s="0" t="s">
        <v>39</v>
      </c>
      <c r="U12" s="0" t="n">
        <v>128</v>
      </c>
      <c r="V12" s="0" t="n">
        <v>11682788</v>
      </c>
      <c r="W12" s="2" t="n">
        <v>196.23</v>
      </c>
      <c r="X12" s="2" t="n">
        <v>24.103</v>
      </c>
      <c r="AB12" s="0" t="n">
        <v>11682799</v>
      </c>
      <c r="AC12" s="2" t="n">
        <v>195.69</v>
      </c>
      <c r="AD12" s="2" t="n">
        <v>2360.7</v>
      </c>
    </row>
    <row r="13" customFormat="false" ht="12.8" hidden="false" customHeight="false" outlineLevel="0" collapsed="false">
      <c r="A13" s="4" t="s">
        <v>7</v>
      </c>
      <c r="B13" s="0" t="n">
        <v>11183794</v>
      </c>
      <c r="C13" s="0" t="n">
        <v>36</v>
      </c>
      <c r="D13" s="0" t="s">
        <v>40</v>
      </c>
      <c r="E13" s="0" t="n">
        <v>5</v>
      </c>
      <c r="F13" s="4" t="s">
        <v>41</v>
      </c>
      <c r="R13" s="0" t="s">
        <v>42</v>
      </c>
      <c r="S13" s="0" t="n">
        <f aca="false">S10/(3000*1000)</f>
        <v>-0.00768522535917384</v>
      </c>
      <c r="U13" s="0" t="n">
        <v>256</v>
      </c>
      <c r="V13" s="0" t="n">
        <v>11682789</v>
      </c>
      <c r="W13" s="2" t="n">
        <v>286.06</v>
      </c>
      <c r="X13" s="2" t="n">
        <v>33.437</v>
      </c>
      <c r="AB13" s="0" t="n">
        <v>11682800</v>
      </c>
    </row>
    <row r="14" customFormat="false" ht="12.8" hidden="false" customHeight="false" outlineLevel="0" collapsed="false">
      <c r="A14" s="0" t="s">
        <v>43</v>
      </c>
      <c r="B14" s="0" t="n">
        <v>11183796</v>
      </c>
      <c r="C14" s="0" t="n">
        <v>36</v>
      </c>
      <c r="D14" s="0" t="s">
        <v>40</v>
      </c>
      <c r="E14" s="0" t="n">
        <v>5</v>
      </c>
      <c r="F14" s="0" t="n">
        <v>1</v>
      </c>
      <c r="I14" s="0" t="s">
        <v>44</v>
      </c>
      <c r="U14" s="0" t="n">
        <v>512</v>
      </c>
      <c r="V14" s="0" t="n">
        <v>11682790</v>
      </c>
      <c r="AB14" s="0" t="n">
        <v>11682801</v>
      </c>
    </row>
    <row r="15" customFormat="false" ht="12.8" hidden="false" customHeight="false" outlineLevel="0" collapsed="false">
      <c r="A15" s="0" t="s">
        <v>7</v>
      </c>
      <c r="B15" s="5" t="n">
        <v>11233880</v>
      </c>
      <c r="C15" s="0" t="n">
        <v>36</v>
      </c>
      <c r="D15" s="0" t="s">
        <v>40</v>
      </c>
      <c r="E15" s="0" t="n">
        <v>15</v>
      </c>
      <c r="F15" s="0" t="n">
        <v>1</v>
      </c>
      <c r="I15" s="0" t="s">
        <v>8</v>
      </c>
      <c r="K15" s="0" t="s">
        <v>45</v>
      </c>
      <c r="U15" s="0" t="n">
        <v>1024</v>
      </c>
      <c r="V15" s="0" t="n">
        <v>11682791</v>
      </c>
      <c r="AB15" s="0" t="n">
        <v>11682802</v>
      </c>
    </row>
    <row r="16" customFormat="false" ht="12.8" hidden="false" customHeight="false" outlineLevel="0" collapsed="false">
      <c r="A16" s="0" t="s">
        <v>43</v>
      </c>
      <c r="B16" s="5" t="n">
        <v>11234707</v>
      </c>
      <c r="C16" s="0" t="n">
        <v>36</v>
      </c>
      <c r="D16" s="0" t="s">
        <v>40</v>
      </c>
      <c r="E16" s="0" t="n">
        <v>15</v>
      </c>
      <c r="F16" s="0" t="n">
        <v>2</v>
      </c>
      <c r="I16" s="0" t="s">
        <v>46</v>
      </c>
      <c r="K16" s="0" t="s">
        <v>47</v>
      </c>
      <c r="R16" s="0" t="s">
        <v>48</v>
      </c>
      <c r="S16" s="0" t="n">
        <v>1</v>
      </c>
    </row>
    <row r="17" customFormat="false" ht="12.8" hidden="false" customHeight="false" outlineLevel="0" collapsed="false">
      <c r="A17" s="0" t="s">
        <v>7</v>
      </c>
      <c r="B17" s="0" t="n">
        <v>11238368</v>
      </c>
      <c r="C17" s="0" t="n">
        <v>50</v>
      </c>
      <c r="D17" s="0" t="s">
        <v>40</v>
      </c>
      <c r="E17" s="0" t="n">
        <v>15</v>
      </c>
      <c r="F17" s="0" t="n">
        <v>2</v>
      </c>
      <c r="R17" s="0" t="s">
        <v>49</v>
      </c>
      <c r="S17" s="0" t="n">
        <f aca="false">SQRT((-2*S10)/(S16))</f>
        <v>214.735540037142</v>
      </c>
    </row>
    <row r="18" customFormat="false" ht="12.8" hidden="false" customHeight="false" outlineLevel="0" collapsed="false">
      <c r="A18" s="0" t="s">
        <v>43</v>
      </c>
      <c r="B18" s="0" t="n">
        <v>11245282</v>
      </c>
      <c r="C18" s="0" t="s">
        <v>50</v>
      </c>
      <c r="D18" s="0" t="s">
        <v>40</v>
      </c>
      <c r="E18" s="0" t="n">
        <v>15</v>
      </c>
      <c r="F18" s="0" t="n">
        <v>2</v>
      </c>
      <c r="K18" s="0" t="s">
        <v>51</v>
      </c>
      <c r="R18" s="0" t="s">
        <v>52</v>
      </c>
      <c r="S18" s="0" t="n">
        <f aca="false">S10/(9.81*S16)</f>
        <v>-2350.22182237732</v>
      </c>
    </row>
    <row r="19" customFormat="false" ht="12.8" hidden="false" customHeight="false" outlineLevel="0" collapsed="false">
      <c r="A19" s="0" t="s">
        <v>7</v>
      </c>
      <c r="B19" s="0" t="n">
        <v>11246145</v>
      </c>
      <c r="C19" s="0" t="s">
        <v>50</v>
      </c>
      <c r="D19" s="0" t="s">
        <v>40</v>
      </c>
      <c r="E19" s="0" t="n">
        <v>15</v>
      </c>
      <c r="F19" s="0" t="n">
        <v>2</v>
      </c>
      <c r="K19" s="0" t="s">
        <v>53</v>
      </c>
    </row>
    <row r="20" customFormat="false" ht="12.8" hidden="false" customHeight="false" outlineLevel="0" collapsed="false">
      <c r="A20" s="0" t="s">
        <v>7</v>
      </c>
      <c r="B20" s="0" t="n">
        <v>11246182</v>
      </c>
      <c r="C20" s="0" t="s">
        <v>54</v>
      </c>
      <c r="D20" s="0" t="s">
        <v>40</v>
      </c>
      <c r="E20" s="0" t="n">
        <v>15</v>
      </c>
    </row>
    <row r="21" customFormat="false" ht="12.8" hidden="false" customHeight="false" outlineLevel="0" collapsed="false">
      <c r="A21" s="0" t="s">
        <v>43</v>
      </c>
      <c r="B21" s="0" t="n">
        <v>11246186</v>
      </c>
      <c r="C21" s="0" t="s">
        <v>54</v>
      </c>
      <c r="D21" s="0" t="s">
        <v>40</v>
      </c>
      <c r="E21" s="0" t="n">
        <v>15</v>
      </c>
      <c r="F21" s="0" t="n">
        <v>1</v>
      </c>
      <c r="H21" s="0" t="s">
        <v>55</v>
      </c>
      <c r="I21" s="0" t="s">
        <v>56</v>
      </c>
      <c r="K21" s="0" t="s">
        <v>57</v>
      </c>
    </row>
    <row r="22" customFormat="false" ht="12.8" hidden="false" customHeight="false" outlineLevel="0" collapsed="false">
      <c r="A22" s="0" t="s">
        <v>7</v>
      </c>
      <c r="B22" s="0" t="n">
        <v>11253628</v>
      </c>
      <c r="C22" s="0" t="s">
        <v>50</v>
      </c>
      <c r="D22" s="0" t="s">
        <v>40</v>
      </c>
      <c r="E22" s="0" t="n">
        <v>10</v>
      </c>
      <c r="I22" s="4" t="s">
        <v>58</v>
      </c>
      <c r="J22" s="0" t="s">
        <v>59</v>
      </c>
      <c r="K22" s="0" t="s">
        <v>60</v>
      </c>
    </row>
    <row r="23" customFormat="false" ht="12.8" hidden="false" customHeight="false" outlineLevel="0" collapsed="false">
      <c r="A23" s="0" t="s">
        <v>7</v>
      </c>
      <c r="B23" s="0" t="n">
        <v>11253637</v>
      </c>
      <c r="C23" s="0" t="s">
        <v>61</v>
      </c>
      <c r="D23" s="0" t="s">
        <v>40</v>
      </c>
      <c r="E23" s="0" t="n">
        <v>10</v>
      </c>
      <c r="I23" s="0" t="s">
        <v>62</v>
      </c>
      <c r="K23" s="0" t="s">
        <v>63</v>
      </c>
    </row>
    <row r="24" customFormat="false" ht="12.8" hidden="false" customHeight="false" outlineLevel="0" collapsed="false">
      <c r="A24" s="0" t="s">
        <v>7</v>
      </c>
      <c r="B24" s="0" t="n">
        <v>11254224</v>
      </c>
      <c r="C24" s="0" t="s">
        <v>64</v>
      </c>
      <c r="D24" s="0" t="n">
        <v>41000</v>
      </c>
      <c r="E24" s="0" t="n">
        <v>15</v>
      </c>
      <c r="F24" s="0" t="s">
        <v>65</v>
      </c>
    </row>
    <row r="25" customFormat="false" ht="12.8" hidden="false" customHeight="false" outlineLevel="0" collapsed="false">
      <c r="A25" s="4" t="s">
        <v>7</v>
      </c>
      <c r="B25" s="0" t="n">
        <v>11254609</v>
      </c>
      <c r="C25" s="0" t="s">
        <v>66</v>
      </c>
      <c r="D25" s="0" t="n">
        <v>20500</v>
      </c>
      <c r="E25" s="0" t="n">
        <v>15</v>
      </c>
      <c r="F25" s="4" t="s">
        <v>67</v>
      </c>
      <c r="I25" s="0" t="s">
        <v>68</v>
      </c>
      <c r="K25" s="0" t="s">
        <v>69</v>
      </c>
    </row>
    <row r="26" customFormat="false" ht="12.8" hidden="false" customHeight="false" outlineLevel="0" collapsed="false">
      <c r="A26" s="0" t="s">
        <v>7</v>
      </c>
      <c r="B26" s="0" t="n">
        <v>11254651</v>
      </c>
      <c r="C26" s="0" t="s">
        <v>70</v>
      </c>
      <c r="D26" s="0" t="n">
        <v>20500</v>
      </c>
      <c r="E26" s="0" t="n">
        <v>15</v>
      </c>
      <c r="K26" s="0" t="s">
        <v>71</v>
      </c>
    </row>
    <row r="27" customFormat="false" ht="12.8" hidden="false" customHeight="false" outlineLevel="0" collapsed="false">
      <c r="A27" s="0" t="s">
        <v>43</v>
      </c>
      <c r="B27" s="0" t="n">
        <v>11256936</v>
      </c>
      <c r="C27" s="0" t="s">
        <v>66</v>
      </c>
      <c r="D27" s="0" t="n">
        <v>40000</v>
      </c>
      <c r="E27" s="0" t="n">
        <v>15</v>
      </c>
      <c r="F27" s="0" t="n">
        <v>2</v>
      </c>
    </row>
    <row r="28" customFormat="false" ht="12.8" hidden="false" customHeight="false" outlineLevel="0" collapsed="false">
      <c r="A28" s="0" t="s">
        <v>43</v>
      </c>
      <c r="B28" s="0" t="n">
        <v>11270470</v>
      </c>
      <c r="C28" s="0" t="s">
        <v>72</v>
      </c>
      <c r="D28" s="0" t="n">
        <v>40000</v>
      </c>
      <c r="E28" s="0" t="n">
        <v>15</v>
      </c>
      <c r="F28" s="0" t="n">
        <v>2</v>
      </c>
      <c r="I28" s="0" t="s">
        <v>73</v>
      </c>
      <c r="K28" s="0" t="s">
        <v>74</v>
      </c>
    </row>
    <row r="29" customFormat="false" ht="12.8" hidden="false" customHeight="false" outlineLevel="0" collapsed="false">
      <c r="A29" s="0" t="s">
        <v>75</v>
      </c>
      <c r="I29" s="0" t="s">
        <v>76</v>
      </c>
      <c r="K29" s="0" t="s">
        <v>77</v>
      </c>
    </row>
    <row r="30" customFormat="false" ht="12.8" hidden="false" customHeight="false" outlineLevel="0" collapsed="false">
      <c r="A30" s="0" t="s">
        <v>7</v>
      </c>
      <c r="B30" s="0" t="n">
        <v>11503806</v>
      </c>
      <c r="C30" s="0" t="s">
        <v>70</v>
      </c>
      <c r="D30" s="0" t="n">
        <v>20500</v>
      </c>
      <c r="E30" s="0" t="n">
        <v>25</v>
      </c>
      <c r="F30" s="0" t="n">
        <v>1</v>
      </c>
    </row>
    <row r="31" customFormat="false" ht="12.8" hidden="false" customHeight="false" outlineLevel="0" collapsed="false">
      <c r="A31" s="0" t="s">
        <v>7</v>
      </c>
      <c r="B31" s="0" t="n">
        <v>11503809</v>
      </c>
      <c r="C31" s="0" t="s">
        <v>66</v>
      </c>
      <c r="D31" s="0" t="n">
        <v>20500</v>
      </c>
      <c r="E31" s="0" t="n">
        <v>25</v>
      </c>
      <c r="I31" s="0" t="s">
        <v>78</v>
      </c>
      <c r="K31" s="0" t="s">
        <v>79</v>
      </c>
    </row>
    <row r="32" customFormat="false" ht="12.8" hidden="false" customHeight="false" outlineLevel="0" collapsed="false">
      <c r="A32" s="0" t="s">
        <v>7</v>
      </c>
      <c r="B32" s="0" t="n">
        <v>11506944</v>
      </c>
      <c r="C32" s="0" t="s">
        <v>80</v>
      </c>
      <c r="D32" s="0" t="n">
        <v>20500</v>
      </c>
      <c r="E32" s="0" t="n">
        <v>25</v>
      </c>
    </row>
    <row r="33" customFormat="false" ht="12.8" hidden="false" customHeight="false" outlineLevel="0" collapsed="false">
      <c r="A33" s="0" t="s">
        <v>7</v>
      </c>
      <c r="B33" s="0" t="n">
        <v>11536539</v>
      </c>
      <c r="C33" s="0" t="s">
        <v>66</v>
      </c>
      <c r="D33" s="0" t="n">
        <v>20500</v>
      </c>
      <c r="E33" s="0" t="n">
        <v>25</v>
      </c>
      <c r="I33" s="0" t="s">
        <v>81</v>
      </c>
      <c r="K33" s="0" t="s">
        <v>82</v>
      </c>
    </row>
    <row r="34" customFormat="false" ht="12.8" hidden="false" customHeight="false" outlineLevel="0" collapsed="false">
      <c r="A34" s="0" t="s">
        <v>7</v>
      </c>
      <c r="B34" s="0" t="n">
        <v>11563626</v>
      </c>
      <c r="C34" s="0" t="s">
        <v>66</v>
      </c>
      <c r="D34" s="0" t="n">
        <v>20500</v>
      </c>
      <c r="E34" s="0" t="n">
        <v>25</v>
      </c>
      <c r="F34" s="0" t="n">
        <v>3</v>
      </c>
      <c r="I34" s="0" t="s">
        <v>83</v>
      </c>
      <c r="K34" s="0" t="s">
        <v>84</v>
      </c>
    </row>
    <row r="35" customFormat="false" ht="12.8" hidden="false" customHeight="false" outlineLevel="0" collapsed="false">
      <c r="A35" s="0" t="s">
        <v>7</v>
      </c>
      <c r="B35" s="0" t="n">
        <v>11592694</v>
      </c>
      <c r="C35" s="0" t="s">
        <v>66</v>
      </c>
      <c r="D35" s="0" t="n">
        <v>20500</v>
      </c>
      <c r="E35" s="0" t="n">
        <v>15</v>
      </c>
      <c r="I35" s="0" t="s">
        <v>85</v>
      </c>
      <c r="K35" s="0" t="s">
        <v>86</v>
      </c>
    </row>
    <row r="36" customFormat="false" ht="12.8" hidden="false" customHeight="false" outlineLevel="0" collapsed="false">
      <c r="A36" s="0" t="s">
        <v>87</v>
      </c>
      <c r="B36" s="0" t="n">
        <v>11593596</v>
      </c>
      <c r="C36" s="0" t="s">
        <v>88</v>
      </c>
      <c r="D36" s="0" t="n">
        <v>40000</v>
      </c>
      <c r="E36" s="0" t="n">
        <v>15</v>
      </c>
    </row>
    <row r="37" customFormat="false" ht="12.8" hidden="false" customHeight="false" outlineLevel="0" collapsed="false">
      <c r="A37" s="0" t="s">
        <v>89</v>
      </c>
      <c r="B37" s="0" t="n">
        <v>11593606</v>
      </c>
      <c r="C37" s="0" t="s">
        <v>88</v>
      </c>
      <c r="D37" s="0" t="n">
        <v>40000</v>
      </c>
      <c r="E37" s="0" t="n">
        <v>15</v>
      </c>
      <c r="I37" s="0" t="s">
        <v>90</v>
      </c>
      <c r="K37" s="0" t="s">
        <v>91</v>
      </c>
    </row>
    <row r="38" customFormat="false" ht="12.8" hidden="false" customHeight="false" outlineLevel="0" collapsed="false">
      <c r="A38" s="0" t="s">
        <v>92</v>
      </c>
      <c r="B38" s="0" t="n">
        <v>11594368</v>
      </c>
      <c r="C38" s="0" t="s">
        <v>88</v>
      </c>
      <c r="D38" s="0" t="n">
        <v>40000</v>
      </c>
      <c r="E38" s="0" t="n">
        <v>15</v>
      </c>
      <c r="I38" s="4" t="s">
        <v>85</v>
      </c>
      <c r="J38" s="0" t="s">
        <v>93</v>
      </c>
      <c r="K38" s="0" t="s">
        <v>94</v>
      </c>
    </row>
    <row r="39" customFormat="false" ht="12.8" hidden="false" customHeight="false" outlineLevel="0" collapsed="false">
      <c r="A39" s="0" t="s">
        <v>95</v>
      </c>
      <c r="B39" s="0" t="n">
        <v>11594374</v>
      </c>
      <c r="C39" s="0" t="s">
        <v>88</v>
      </c>
      <c r="D39" s="0" t="n">
        <v>40000</v>
      </c>
      <c r="E39" s="0" t="n">
        <v>15</v>
      </c>
      <c r="I39" s="4" t="s">
        <v>96</v>
      </c>
      <c r="K39" s="0" t="s">
        <v>97</v>
      </c>
    </row>
    <row r="40" customFormat="false" ht="12.8" hidden="false" customHeight="false" outlineLevel="0" collapsed="false">
      <c r="A40" s="0" t="s">
        <v>95</v>
      </c>
      <c r="B40" s="0" t="n">
        <v>11609110</v>
      </c>
      <c r="C40" s="0" t="s">
        <v>98</v>
      </c>
      <c r="D40" s="0" t="n">
        <v>40000</v>
      </c>
      <c r="E40" s="0" t="n">
        <v>15</v>
      </c>
      <c r="I40" s="0" t="s">
        <v>99</v>
      </c>
      <c r="K40" s="0" t="s">
        <v>100</v>
      </c>
    </row>
    <row r="41" customFormat="false" ht="12.8" hidden="false" customHeight="false" outlineLevel="0" collapsed="false">
      <c r="A41" s="0" t="s">
        <v>95</v>
      </c>
      <c r="B41" s="0" t="n">
        <v>11614751</v>
      </c>
      <c r="C41" s="0" t="s">
        <v>88</v>
      </c>
      <c r="H41" s="0" t="s">
        <v>101</v>
      </c>
    </row>
    <row r="42" customFormat="false" ht="12.8" hidden="false" customHeight="false" outlineLevel="0" collapsed="false">
      <c r="A42" s="6" t="s">
        <v>102</v>
      </c>
      <c r="B42" s="6" t="n">
        <v>11657944</v>
      </c>
      <c r="C42" s="6" t="s">
        <v>88</v>
      </c>
      <c r="D42" s="6" t="n">
        <v>40000</v>
      </c>
      <c r="E42" s="6" t="n">
        <v>15</v>
      </c>
      <c r="H42" s="0" t="s">
        <v>103</v>
      </c>
      <c r="I42" s="0" t="s">
        <v>104</v>
      </c>
      <c r="K42" s="0" t="s">
        <v>105</v>
      </c>
    </row>
    <row r="43" customFormat="false" ht="12.8" hidden="false" customHeight="false" outlineLevel="0" collapsed="false">
      <c r="A43" s="0" t="s">
        <v>89</v>
      </c>
      <c r="B43" s="0" t="n">
        <v>11683383</v>
      </c>
      <c r="C43" s="0" t="s">
        <v>88</v>
      </c>
      <c r="D43" s="0" t="n">
        <v>40000</v>
      </c>
      <c r="E43" s="0" t="n">
        <v>25</v>
      </c>
      <c r="H43" s="0" t="s">
        <v>106</v>
      </c>
      <c r="I43" s="0" t="s">
        <v>107</v>
      </c>
      <c r="J43" s="0" t="s">
        <v>108</v>
      </c>
      <c r="K43" s="0" t="s">
        <v>109</v>
      </c>
    </row>
    <row r="44" customFormat="false" ht="12.8" hidden="false" customHeight="false" outlineLevel="0" collapsed="false">
      <c r="A44" s="0" t="s">
        <v>110</v>
      </c>
      <c r="B44" s="0" t="n">
        <v>9768932</v>
      </c>
      <c r="C44" s="0" t="s">
        <v>111</v>
      </c>
      <c r="D44" s="0" t="n">
        <v>40000</v>
      </c>
      <c r="E44" s="0" t="n">
        <v>25</v>
      </c>
      <c r="H44" s="0" t="s">
        <v>112</v>
      </c>
      <c r="I44" s="0" t="s">
        <v>113</v>
      </c>
      <c r="K44" s="0" t="s">
        <v>114</v>
      </c>
    </row>
    <row r="45" customFormat="false" ht="12.8" hidden="false" customHeight="false" outlineLevel="0" collapsed="false">
      <c r="A45" s="6" t="s">
        <v>110</v>
      </c>
      <c r="B45" s="6" t="n">
        <v>9769017</v>
      </c>
      <c r="C45" s="6" t="s">
        <v>115</v>
      </c>
      <c r="D45" s="6" t="n">
        <v>40000</v>
      </c>
      <c r="E45" s="6" t="n">
        <v>25</v>
      </c>
      <c r="F45" s="0" t="n">
        <v>1</v>
      </c>
      <c r="I45" s="0" t="s">
        <v>116</v>
      </c>
      <c r="J45" s="0" t="s">
        <v>117</v>
      </c>
      <c r="K45" s="0" t="s">
        <v>118</v>
      </c>
    </row>
    <row r="46" customFormat="false" ht="12.8" hidden="false" customHeight="false" outlineLevel="0" collapsed="false">
      <c r="A46" s="6" t="s">
        <v>119</v>
      </c>
      <c r="B46" s="6" t="n">
        <v>9769019</v>
      </c>
      <c r="C46" s="6" t="s">
        <v>115</v>
      </c>
      <c r="D46" s="6" t="n">
        <v>40000</v>
      </c>
      <c r="E46" s="6" t="n">
        <v>25</v>
      </c>
      <c r="F46" s="0" t="n">
        <v>1</v>
      </c>
    </row>
    <row r="47" customFormat="false" ht="12.8" hidden="false" customHeight="false" outlineLevel="0" collapsed="false">
      <c r="A47" s="6" t="s">
        <v>119</v>
      </c>
      <c r="B47" s="0" t="n">
        <v>9771918</v>
      </c>
      <c r="C47" s="0" t="s">
        <v>70</v>
      </c>
      <c r="D47" s="6" t="n">
        <v>40000</v>
      </c>
      <c r="E47" s="0" t="n">
        <v>30</v>
      </c>
      <c r="I47" s="0" t="s">
        <v>120</v>
      </c>
      <c r="K47" s="0" t="s">
        <v>121</v>
      </c>
    </row>
    <row r="48" customFormat="false" ht="12.8" hidden="false" customHeight="false" outlineLevel="0" collapsed="false">
      <c r="A48" s="6" t="s">
        <v>119</v>
      </c>
      <c r="B48" s="0" t="n">
        <v>9772567</v>
      </c>
      <c r="C48" s="0" t="s">
        <v>70</v>
      </c>
      <c r="D48" s="6" t="n">
        <v>40000</v>
      </c>
      <c r="E48" s="0" t="n">
        <v>30</v>
      </c>
      <c r="F48" s="0" t="s">
        <v>122</v>
      </c>
    </row>
    <row r="49" customFormat="false" ht="12.8" hidden="false" customHeight="false" outlineLevel="0" collapsed="false">
      <c r="A49" s="6" t="s">
        <v>119</v>
      </c>
      <c r="B49" s="0" t="n">
        <v>9772794</v>
      </c>
      <c r="C49" s="0" t="s">
        <v>70</v>
      </c>
      <c r="D49" s="6" t="n">
        <v>40000</v>
      </c>
      <c r="E49" s="0" t="n">
        <v>30</v>
      </c>
      <c r="I49" s="0" t="s">
        <v>123</v>
      </c>
      <c r="J49" s="0" t="s">
        <v>124</v>
      </c>
      <c r="K49" s="0" t="s">
        <v>125</v>
      </c>
    </row>
    <row r="51" customFormat="false" ht="12.8" hidden="false" customHeight="false" outlineLevel="0" collapsed="false">
      <c r="H51" s="0" t="s">
        <v>126</v>
      </c>
      <c r="I51" s="4" t="s">
        <v>127</v>
      </c>
      <c r="K51" s="0" t="s">
        <v>128</v>
      </c>
    </row>
    <row r="52" customFormat="false" ht="12.8" hidden="false" customHeight="false" outlineLevel="0" collapsed="false">
      <c r="A52" s="0" t="s">
        <v>129</v>
      </c>
      <c r="B52" s="0" t="n">
        <v>11738442</v>
      </c>
    </row>
    <row r="53" customFormat="false" ht="12.8" hidden="false" customHeight="false" outlineLevel="0" collapsed="false">
      <c r="A53" s="0" t="s">
        <v>130</v>
      </c>
      <c r="B53" s="0" t="n">
        <v>12273675</v>
      </c>
      <c r="H53" s="0" t="s">
        <v>131</v>
      </c>
      <c r="I53" s="4" t="s">
        <v>7</v>
      </c>
      <c r="K53" s="0" t="s">
        <v>132</v>
      </c>
    </row>
    <row r="54" customFormat="false" ht="12.8" hidden="false" customHeight="false" outlineLevel="0" collapsed="false">
      <c r="A54" s="0" t="s">
        <v>133</v>
      </c>
      <c r="B54" s="0" t="n">
        <v>12273678</v>
      </c>
      <c r="I54" s="4" t="s">
        <v>43</v>
      </c>
      <c r="K54" s="0" t="s">
        <v>134</v>
      </c>
    </row>
    <row r="55" customFormat="false" ht="12.8" hidden="false" customHeight="false" outlineLevel="0" collapsed="false">
      <c r="A55" s="0" t="s">
        <v>135</v>
      </c>
      <c r="B55" s="0" t="n">
        <v>12275187</v>
      </c>
      <c r="I55" s="4" t="s">
        <v>136</v>
      </c>
      <c r="K55" s="0" t="s">
        <v>137</v>
      </c>
    </row>
    <row r="57" customFormat="false" ht="12.8" hidden="false" customHeight="false" outlineLevel="0" collapsed="false">
      <c r="A57" s="0" t="s">
        <v>138</v>
      </c>
      <c r="B57" s="0" t="n">
        <v>12277881</v>
      </c>
      <c r="F57" s="0" t="s">
        <v>139</v>
      </c>
      <c r="H57" s="0" t="s">
        <v>140</v>
      </c>
      <c r="I57" s="0" t="s">
        <v>7</v>
      </c>
      <c r="K57" s="0" t="s">
        <v>141</v>
      </c>
      <c r="L57" s="0" t="s">
        <v>142</v>
      </c>
    </row>
    <row r="58" customFormat="false" ht="12.8" hidden="false" customHeight="false" outlineLevel="0" collapsed="false">
      <c r="A58" s="0" t="s">
        <v>143</v>
      </c>
      <c r="B58" s="0" t="n">
        <v>12277879</v>
      </c>
      <c r="H58" s="0" t="s">
        <v>144</v>
      </c>
      <c r="I58" s="0" t="s">
        <v>43</v>
      </c>
      <c r="K58" s="0" t="s">
        <v>145</v>
      </c>
    </row>
    <row r="59" customFormat="false" ht="12.8" hidden="false" customHeight="false" outlineLevel="0" collapsed="false">
      <c r="A59" s="0" t="s">
        <v>146</v>
      </c>
      <c r="B59" s="0" t="n">
        <v>12278036</v>
      </c>
      <c r="I59" s="0" t="s">
        <v>147</v>
      </c>
      <c r="K59" s="0" t="s">
        <v>148</v>
      </c>
    </row>
    <row r="60" customFormat="false" ht="12.8" hidden="false" customHeight="false" outlineLevel="0" collapsed="false">
      <c r="A60" s="0" t="s">
        <v>149</v>
      </c>
      <c r="B60" s="0" t="n">
        <v>12278397</v>
      </c>
    </row>
    <row r="61" customFormat="false" ht="12.8" hidden="false" customHeight="false" outlineLevel="0" collapsed="false">
      <c r="A61" s="7" t="s">
        <v>150</v>
      </c>
      <c r="I61" s="0" t="s">
        <v>151</v>
      </c>
    </row>
    <row r="62" customFormat="false" ht="12.8" hidden="false" customHeight="false" outlineLevel="0" collapsed="false">
      <c r="A62" s="0" t="s">
        <v>152</v>
      </c>
      <c r="B62" s="0" t="n">
        <v>12311996</v>
      </c>
      <c r="I62" s="0" t="s">
        <v>153</v>
      </c>
      <c r="K62" s="0" t="s">
        <v>154</v>
      </c>
    </row>
    <row r="63" customFormat="false" ht="12.8" hidden="false" customHeight="false" outlineLevel="0" collapsed="false">
      <c r="A63" s="0" t="s">
        <v>155</v>
      </c>
      <c r="B63" s="0" t="n">
        <v>12311997</v>
      </c>
    </row>
    <row r="65" customFormat="false" ht="12.8" hidden="false" customHeight="false" outlineLevel="0" collapsed="false">
      <c r="A65" s="7" t="s">
        <v>156</v>
      </c>
      <c r="B65" s="7" t="s">
        <v>157</v>
      </c>
      <c r="C65" s="7" t="s">
        <v>158</v>
      </c>
      <c r="D65" s="7" t="s">
        <v>159</v>
      </c>
      <c r="E65" s="8" t="s">
        <v>160</v>
      </c>
      <c r="I65" s="7" t="s">
        <v>161</v>
      </c>
      <c r="K65" s="0" t="s">
        <v>162</v>
      </c>
    </row>
    <row r="66" customFormat="false" ht="12.8" hidden="false" customHeight="false" outlineLevel="0" collapsed="false">
      <c r="A66" s="0" t="s">
        <v>163</v>
      </c>
      <c r="B66" s="9" t="n">
        <v>12319986</v>
      </c>
      <c r="C66" s="10" t="n">
        <v>9970215</v>
      </c>
      <c r="D66" s="11" t="n">
        <v>9970359</v>
      </c>
      <c r="E66" s="12" t="s">
        <v>164</v>
      </c>
      <c r="I66" s="7"/>
    </row>
    <row r="67" customFormat="false" ht="12.8" hidden="false" customHeight="false" outlineLevel="0" collapsed="false">
      <c r="A67" s="0" t="s">
        <v>165</v>
      </c>
      <c r="B67" s="9" t="n">
        <v>12319245</v>
      </c>
      <c r="C67" s="10" t="n">
        <v>9987882</v>
      </c>
      <c r="E67" s="13" t="s">
        <v>166</v>
      </c>
    </row>
    <row r="68" customFormat="false" ht="12.8" hidden="false" customHeight="false" outlineLevel="0" collapsed="false">
      <c r="A68" s="0" t="s">
        <v>167</v>
      </c>
      <c r="E68" s="14" t="s">
        <v>168</v>
      </c>
    </row>
    <row r="69" customFormat="false" ht="12.8" hidden="false" customHeight="false" outlineLevel="0" collapsed="false">
      <c r="A69" s="0" t="s">
        <v>169</v>
      </c>
      <c r="E69" s="15" t="s">
        <v>170</v>
      </c>
    </row>
    <row r="70" customFormat="false" ht="12.8" hidden="false" customHeight="false" outlineLevel="0" collapsed="false">
      <c r="A70" s="7" t="s">
        <v>171</v>
      </c>
      <c r="K70" s="0" t="s">
        <v>172</v>
      </c>
    </row>
    <row r="71" customFormat="false" ht="12.8" hidden="false" customHeight="false" outlineLevel="0" collapsed="false">
      <c r="A71" s="0" t="s">
        <v>173</v>
      </c>
      <c r="E71" s="16" t="n">
        <v>11799581</v>
      </c>
    </row>
    <row r="72" customFormat="false" ht="12.8" hidden="false" customHeight="false" outlineLevel="0" collapsed="false">
      <c r="A72" s="7" t="s">
        <v>174</v>
      </c>
    </row>
    <row r="73" customFormat="false" ht="12.8" hidden="false" customHeight="false" outlineLevel="0" collapsed="false">
      <c r="A73" s="0" t="s">
        <v>163</v>
      </c>
      <c r="B73" s="17" t="n">
        <v>12326646</v>
      </c>
      <c r="D73" s="17" t="n">
        <v>10006648</v>
      </c>
      <c r="G73" s="2"/>
      <c r="H73" s="5"/>
      <c r="I73" s="2"/>
      <c r="J73" s="2"/>
      <c r="K73" s="0" t="s">
        <v>175</v>
      </c>
    </row>
    <row r="74" customFormat="false" ht="12.8" hidden="false" customHeight="false" outlineLevel="0" collapsed="false">
      <c r="A74" s="0" t="s">
        <v>176</v>
      </c>
      <c r="C74" s="10" t="n">
        <v>9987873</v>
      </c>
      <c r="D74" s="10" t="n">
        <v>9992592</v>
      </c>
      <c r="F74" s="5"/>
      <c r="G74" s="18"/>
      <c r="H74" s="5"/>
      <c r="I74" s="2"/>
      <c r="J74" s="2"/>
    </row>
    <row r="75" customFormat="false" ht="12.8" hidden="false" customHeight="false" outlineLevel="0" collapsed="false">
      <c r="A75" s="0" t="s">
        <v>177</v>
      </c>
      <c r="C75" s="19" t="n">
        <v>9991479</v>
      </c>
      <c r="D75" s="19" t="n">
        <v>9992587</v>
      </c>
      <c r="F75" s="5"/>
      <c r="G75" s="18"/>
      <c r="H75" s="5"/>
      <c r="I75" s="2" t="s">
        <v>178</v>
      </c>
      <c r="J75" s="2"/>
      <c r="K75" s="0" t="s">
        <v>179</v>
      </c>
    </row>
    <row r="76" customFormat="false" ht="12.8" hidden="false" customHeight="false" outlineLevel="0" collapsed="false">
      <c r="A76" s="7" t="s">
        <v>180</v>
      </c>
      <c r="D76" s="5"/>
      <c r="F76" s="5"/>
      <c r="G76" s="18"/>
      <c r="H76" s="5"/>
      <c r="I76" s="2" t="s">
        <v>181</v>
      </c>
      <c r="J76" s="2"/>
      <c r="K76" s="0" t="s">
        <v>182</v>
      </c>
    </row>
    <row r="77" customFormat="false" ht="12.8" hidden="false" customHeight="false" outlineLevel="0" collapsed="false">
      <c r="A77" s="0" t="s">
        <v>183</v>
      </c>
      <c r="B77" s="17" t="n">
        <v>12326781</v>
      </c>
      <c r="D77" s="5"/>
      <c r="F77" s="5"/>
      <c r="G77" s="18"/>
      <c r="H77" s="5"/>
      <c r="I77" s="2"/>
      <c r="J77" s="2"/>
    </row>
    <row r="78" customFormat="false" ht="12.8" hidden="false" customHeight="false" outlineLevel="0" collapsed="false">
      <c r="A78" s="0" t="s">
        <v>184</v>
      </c>
      <c r="B78" s="17" t="s">
        <v>185</v>
      </c>
      <c r="C78" s="0" t="n">
        <v>0</v>
      </c>
      <c r="E78" s="5"/>
      <c r="F78" s="5"/>
      <c r="G78" s="18"/>
      <c r="H78" s="5"/>
      <c r="I78" s="2"/>
      <c r="J78" s="2"/>
    </row>
    <row r="79" customFormat="false" ht="12.8" hidden="false" customHeight="false" outlineLevel="0" collapsed="false">
      <c r="E79" s="5"/>
      <c r="F79" s="5"/>
      <c r="G79" s="18"/>
      <c r="H79" s="5"/>
      <c r="I79" s="2"/>
      <c r="J79" s="2"/>
    </row>
    <row r="80" customFormat="false" ht="12.8" hidden="false" customHeight="false" outlineLevel="0" collapsed="false">
      <c r="A80" s="7" t="s">
        <v>186</v>
      </c>
      <c r="B80" s="0" t="s">
        <v>187</v>
      </c>
      <c r="E80" s="5"/>
      <c r="F80" s="5"/>
      <c r="G80" s="18"/>
      <c r="H80" s="5"/>
      <c r="I80" s="2"/>
      <c r="J80" s="2"/>
    </row>
    <row r="81" customFormat="false" ht="12.8" hidden="false" customHeight="false" outlineLevel="0" collapsed="false">
      <c r="A81" s="7" t="s">
        <v>156</v>
      </c>
      <c r="E81" s="5"/>
      <c r="F81" s="5"/>
      <c r="G81" s="18"/>
      <c r="H81" s="5"/>
      <c r="I81" s="2"/>
      <c r="J81" s="2"/>
    </row>
    <row r="82" customFormat="false" ht="12.8" hidden="false" customHeight="false" outlineLevel="0" collapsed="false">
      <c r="A82" s="0" t="s">
        <v>188</v>
      </c>
      <c r="C82" s="20" t="n">
        <v>10008760</v>
      </c>
      <c r="D82" s="20" t="n">
        <v>10008638</v>
      </c>
      <c r="E82" s="5"/>
      <c r="F82" s="5"/>
      <c r="G82" s="18"/>
      <c r="H82" s="5"/>
      <c r="I82" s="2"/>
      <c r="J82" s="2"/>
    </row>
    <row r="83" customFormat="false" ht="12.8" hidden="false" customHeight="false" outlineLevel="0" collapsed="false">
      <c r="A83" s="0" t="s">
        <v>189</v>
      </c>
      <c r="C83" s="20" t="n">
        <v>10008755</v>
      </c>
      <c r="D83" s="10" t="n">
        <v>10008639</v>
      </c>
      <c r="E83" s="5"/>
      <c r="F83" s="5"/>
      <c r="G83" s="18"/>
      <c r="H83" s="5"/>
      <c r="I83" s="2"/>
      <c r="J83" s="2"/>
    </row>
    <row r="84" customFormat="false" ht="12.8" hidden="false" customHeight="false" outlineLevel="0" collapsed="false">
      <c r="A84" s="0" t="s">
        <v>177</v>
      </c>
      <c r="C84" s="20" t="n">
        <v>10008773</v>
      </c>
      <c r="E84" s="5"/>
      <c r="F84" s="5"/>
      <c r="G84" s="18"/>
      <c r="H84" s="5"/>
      <c r="I84" s="2"/>
      <c r="J84" s="2"/>
    </row>
    <row r="85" customFormat="false" ht="12.8" hidden="false" customHeight="false" outlineLevel="0" collapsed="false">
      <c r="A85" s="0" t="s">
        <v>167</v>
      </c>
      <c r="E85" s="5"/>
      <c r="F85" s="5"/>
      <c r="G85" s="18"/>
      <c r="H85" s="5"/>
      <c r="I85" s="2"/>
      <c r="J85" s="2"/>
    </row>
    <row r="86" customFormat="false" ht="12.8" hidden="false" customHeight="false" outlineLevel="0" collapsed="false">
      <c r="A86" s="7" t="s">
        <v>174</v>
      </c>
      <c r="E86" s="5"/>
      <c r="F86" s="5"/>
      <c r="G86" s="18"/>
      <c r="H86" s="5"/>
      <c r="I86" s="2"/>
      <c r="J86" s="2"/>
    </row>
    <row r="87" customFormat="false" ht="12.8" hidden="false" customHeight="false" outlineLevel="0" collapsed="false">
      <c r="A87" s="0" t="s">
        <v>188</v>
      </c>
      <c r="C87" s="20" t="n">
        <v>10008763</v>
      </c>
      <c r="D87" s="20" t="n">
        <v>10008641</v>
      </c>
      <c r="E87" s="5"/>
      <c r="F87" s="5"/>
      <c r="G87" s="18"/>
      <c r="H87" s="5"/>
      <c r="I87" s="2"/>
      <c r="J87" s="2"/>
    </row>
    <row r="88" customFormat="false" ht="12.8" hidden="false" customHeight="false" outlineLevel="0" collapsed="false">
      <c r="A88" s="0" t="s">
        <v>189</v>
      </c>
      <c r="C88" s="20" t="n">
        <v>10008765</v>
      </c>
      <c r="D88" s="10" t="n">
        <v>10008642</v>
      </c>
      <c r="E88" s="5"/>
      <c r="F88" s="5"/>
      <c r="G88" s="18"/>
      <c r="H88" s="5"/>
      <c r="I88" s="2"/>
      <c r="J88" s="2"/>
    </row>
    <row r="89" customFormat="false" ht="12.8" hidden="false" customHeight="false" outlineLevel="0" collapsed="false">
      <c r="A89" s="6" t="s">
        <v>177</v>
      </c>
      <c r="C89" s="20" t="n">
        <v>10008772</v>
      </c>
    </row>
    <row r="90" customFormat="false" ht="12.8" hidden="false" customHeight="false" outlineLevel="0" collapsed="false">
      <c r="A90" s="0" t="s">
        <v>167</v>
      </c>
    </row>
    <row r="92" customFormat="false" ht="12.8" hidden="false" customHeight="false" outlineLevel="0" collapsed="false">
      <c r="A92" s="7"/>
      <c r="H92" s="7" t="s">
        <v>190</v>
      </c>
      <c r="I92" s="7" t="s">
        <v>191</v>
      </c>
      <c r="J92" s="7" t="s">
        <v>192</v>
      </c>
    </row>
    <row r="93" customFormat="false" ht="12.8" hidden="false" customHeight="false" outlineLevel="0" collapsed="false">
      <c r="A93" s="7" t="s">
        <v>193</v>
      </c>
      <c r="B93" s="7" t="n">
        <v>22</v>
      </c>
      <c r="C93" s="7" t="n">
        <v>6</v>
      </c>
      <c r="D93" s="21" t="s">
        <v>194</v>
      </c>
      <c r="F93" s="0" t="s">
        <v>195</v>
      </c>
      <c r="G93" s="7" t="s">
        <v>17</v>
      </c>
      <c r="H93" s="2" t="n">
        <v>16.126</v>
      </c>
      <c r="I93" s="2" t="n">
        <v>45.997</v>
      </c>
      <c r="J93" s="0" t="n">
        <f aca="false">I93/H93</f>
        <v>2.85235024184547</v>
      </c>
    </row>
    <row r="94" customFormat="false" ht="12.8" hidden="false" customHeight="false" outlineLevel="0" collapsed="false">
      <c r="A94" s="0" t="s">
        <v>196</v>
      </c>
      <c r="B94" s="17" t="n">
        <v>10181712</v>
      </c>
      <c r="C94" s="0" t="n">
        <v>10246728</v>
      </c>
      <c r="D94" s="0" t="n">
        <v>12124227</v>
      </c>
      <c r="E94" s="0" t="n">
        <v>10273887</v>
      </c>
      <c r="F94" s="0" t="n">
        <v>10304163</v>
      </c>
      <c r="G94" s="7" t="s">
        <v>18</v>
      </c>
      <c r="H94" s="2" t="n">
        <v>0.52584</v>
      </c>
      <c r="I94" s="2" t="n">
        <v>1.0617</v>
      </c>
      <c r="J94" s="0" t="n">
        <f aca="false">I94/H94</f>
        <v>2.01905522592424</v>
      </c>
    </row>
    <row r="95" customFormat="false" ht="12.8" hidden="false" customHeight="false" outlineLevel="0" collapsed="false">
      <c r="A95" s="0" t="s">
        <v>197</v>
      </c>
      <c r="B95" s="10" t="n">
        <v>10181716</v>
      </c>
      <c r="C95" s="0" t="n">
        <v>10227446</v>
      </c>
      <c r="D95" s="0" t="n">
        <v>10273752</v>
      </c>
      <c r="E95" s="0" t="n">
        <v>10330360</v>
      </c>
      <c r="F95" s="0" t="n">
        <v>10304165</v>
      </c>
    </row>
    <row r="96" customFormat="false" ht="12.8" hidden="false" customHeight="false" outlineLevel="0" collapsed="false">
      <c r="A96" s="0" t="s">
        <v>198</v>
      </c>
      <c r="B96" s="10" t="n">
        <v>10181720</v>
      </c>
      <c r="C96" s="0" t="n">
        <v>10246727</v>
      </c>
      <c r="D96" s="0" t="n">
        <v>10273735</v>
      </c>
      <c r="F96" s="0" t="n">
        <v>10304162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42853</TotalTime>
  <Application>LibreOffice/7.3.7.2$Linux_X86_64 LibreOffice_project/30$Build-2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2022-08-20T13:13:33Z</dcterms:created>
  <dc:creator/>
  <dc:description/>
  <dc:language>en-US</dc:language>
  <cp:lastModifiedBy/>
  <dcterms:modified xsi:type="dcterms:W3CDTF">2023-01-13T17:12:41Z</dcterms:modified>
  <cp:revision>275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